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https://itsystemesidf-my.sharepoint.com/personal/o_delaunay_it-systemes_fr/Documents/"/>
    </mc:Choice>
  </mc:AlternateContent>
  <xr:revisionPtr revIDLastSave="0" documentId="8_{F1EC1A5C-51E7-BA47-8618-D64C5D493263}" xr6:coauthVersionLast="47" xr6:coauthVersionMax="47" xr10:uidLastSave="{00000000-0000-0000-0000-000000000000}"/>
  <bookViews>
    <workbookView xWindow="0" yWindow="680" windowWidth="29400" windowHeight="17320" activeTab="6" xr2:uid="{00000000-000D-0000-FFFF-FFFF00000000}"/>
  </bookViews>
  <sheets>
    <sheet name="Dashboard" sheetId="1" r:id="rId1"/>
    <sheet name="S1-Sauvegardes" sheetId="2" r:id="rId2"/>
    <sheet name="S2-Simulations" sheetId="3" r:id="rId3"/>
    <sheet name="S3-Contacts" sheetId="4" r:id="rId4"/>
    <sheet name="S4-MAJ" sheetId="5" r:id="rId5"/>
    <sheet name="Scénarios" sheetId="6" r:id="rId6"/>
    <sheet name="Rappel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5" l="1"/>
  <c r="C11" i="1" s="1"/>
  <c r="D11" i="1" s="1"/>
  <c r="E11" i="1" s="1"/>
  <c r="G2" i="4"/>
  <c r="C10" i="1" s="1"/>
  <c r="D10" i="1" s="1"/>
  <c r="E10" i="1" s="1"/>
  <c r="H2" i="3"/>
  <c r="C9" i="1" s="1"/>
  <c r="D9" i="1" s="1"/>
  <c r="E9" i="1" s="1"/>
  <c r="I3" i="2"/>
  <c r="C12" i="1" s="1"/>
  <c r="I2" i="2"/>
  <c r="C8" i="1" s="1"/>
  <c r="D8" i="1" s="1"/>
  <c r="C13" i="1"/>
  <c r="D13" i="1" s="1"/>
  <c r="E12" i="1" l="1"/>
  <c r="D12" i="1"/>
  <c r="B15" i="1" s="1"/>
  <c r="C15" i="1" s="1"/>
  <c r="E8" i="1"/>
  <c r="E13" i="1"/>
</calcChain>
</file>

<file path=xl/sharedStrings.xml><?xml version="1.0" encoding="utf-8"?>
<sst xmlns="http://schemas.openxmlformats.org/spreadsheetml/2006/main" count="429" uniqueCount="232">
  <si>
    <t>TABLEAU DE BORD - TESTS PCA</t>
  </si>
  <si>
    <t>[NOM DE L'ENTREPRISE] - Année [2024/2025]</t>
  </si>
  <si>
    <t>Responsable tests :</t>
  </si>
  <si>
    <t>[Nom, Fonction]</t>
  </si>
  <si>
    <t>Dernier test complet :</t>
  </si>
  <si>
    <t>[JJ/MM/AAAA]</t>
  </si>
  <si>
    <t>INDICATEURS CLÉS</t>
  </si>
  <si>
    <t>INDICATEUR</t>
  </si>
  <si>
    <t>OBJECTIF</t>
  </si>
  <si>
    <t>RÉALISÉ</t>
  </si>
  <si>
    <t>TAUX</t>
  </si>
  <si>
    <t>STATUT</t>
  </si>
  <si>
    <t>Tests sauvegardes réussis</t>
  </si>
  <si>
    <t>Simulations réalisées</t>
  </si>
  <si>
    <t>Contacts vérifiés OK</t>
  </si>
  <si>
    <t>MAJ PCA effectuées</t>
  </si>
  <si>
    <t>RTO moyen backup (min)</t>
  </si>
  <si>
    <t>Temps réaction moyen (min)</t>
  </si>
  <si>
    <t>SCORE GLOBAL</t>
  </si>
  <si>
    <t>PLANNING MENSUEL</t>
  </si>
  <si>
    <t>SEMAINE</t>
  </si>
  <si>
    <t>TYPE</t>
  </si>
  <si>
    <t>ACTIONS</t>
  </si>
  <si>
    <t>DURÉE</t>
  </si>
  <si>
    <t>RESPONSABLE</t>
  </si>
  <si>
    <t>S1</t>
  </si>
  <si>
    <t>Sauvegardes</t>
  </si>
  <si>
    <t>Restauration fichier test</t>
  </si>
  <si>
    <t>15 min</t>
  </si>
  <si>
    <t>[Admin]</t>
  </si>
  <si>
    <t>☐</t>
  </si>
  <si>
    <t>S2</t>
  </si>
  <si>
    <t>Simulation</t>
  </si>
  <si>
    <t>Exercice table-top</t>
  </si>
  <si>
    <t>30 min</t>
  </si>
  <si>
    <t>[DSI]</t>
  </si>
  <si>
    <t>S3</t>
  </si>
  <si>
    <t>Contacts</t>
  </si>
  <si>
    <t>Vérification joignabilité</t>
  </si>
  <si>
    <t>[Resp.]</t>
  </si>
  <si>
    <t>S4</t>
  </si>
  <si>
    <t>MAJ PCA</t>
  </si>
  <si>
    <t>Révision procédures</t>
  </si>
  <si>
    <t>PROCHAINES ÉCHÉANCES</t>
  </si>
  <si>
    <t>Prochain test backup :</t>
  </si>
  <si>
    <t>[Date]</t>
  </si>
  <si>
    <t>Prochaine simulation :</t>
  </si>
  <si>
    <t>Prochain test complet :</t>
  </si>
  <si>
    <t>SEMAINE 1 : TESTS SAUVEGARDES</t>
  </si>
  <si>
    <t>COMPTEURS</t>
  </si>
  <si>
    <t>Tests OK :</t>
  </si>
  <si>
    <t>DATE</t>
  </si>
  <si>
    <t>SYSTÈME</t>
  </si>
  <si>
    <t>FICHIER TEST</t>
  </si>
  <si>
    <t>INTÉGRITÉ</t>
  </si>
  <si>
    <t>RÉSULTAT</t>
  </si>
  <si>
    <t>DURÉE (min)</t>
  </si>
  <si>
    <t>RTO (min)</t>
  </si>
  <si>
    <t>TESTEUR</t>
  </si>
  <si>
    <t>[JJ/MM]</t>
  </si>
  <si>
    <t>[Serveur/OneDrive]</t>
  </si>
  <si>
    <t>[Nom fichier]</t>
  </si>
  <si>
    <t>☐ OK  ☐ KO</t>
  </si>
  <si>
    <t>[Init.]</t>
  </si>
  <si>
    <t>💡 Colonne E : saisir OK ou KO</t>
  </si>
  <si>
    <t>CHECKLIST HEBDOMADAIRE</t>
  </si>
  <si>
    <t>☐ Vérifier statut dernière sauvegarde (console backup)</t>
  </si>
  <si>
    <t>☐ Identifier fichier test à restaurer</t>
  </si>
  <si>
    <t>☐ Lancer restauration</t>
  </si>
  <si>
    <t>☐ Vérifier intégrité fichier restauré</t>
  </si>
  <si>
    <t>☐ Vérifier espace disque disponible</t>
  </si>
  <si>
    <t>☐ Tester restauration OneDrive (1 fichier)</t>
  </si>
  <si>
    <t>☐ Documenter dans ce registre</t>
  </si>
  <si>
    <t>SEMAINE 2 : SIMULATIONS INCIDENTS</t>
  </si>
  <si>
    <t>Simulations OK :</t>
  </si>
  <si>
    <t>SCÉNARIO</t>
  </si>
  <si>
    <t>PARTICIPANTS</t>
  </si>
  <si>
    <t>PROCÉDURES SUIVIES</t>
  </si>
  <si>
    <t>TEMPS RÉACTION (min)</t>
  </si>
  <si>
    <t>POINTS +</t>
  </si>
  <si>
    <t>POINTS -</t>
  </si>
  <si>
    <t>Ransomware</t>
  </si>
  <si>
    <t>[Noms]</t>
  </si>
  <si>
    <t>☐ Oui ☐ Partiel ☐ Non</t>
  </si>
  <si>
    <t>Panne réseau</t>
  </si>
  <si>
    <t>Panne serveur</t>
  </si>
  <si>
    <t>Compromission compte</t>
  </si>
  <si>
    <t>Perte M365</t>
  </si>
  <si>
    <t>Test complet</t>
  </si>
  <si>
    <t>PLANNING ROTATION SCÉNARIOS</t>
  </si>
  <si>
    <t>MOIS</t>
  </si>
  <si>
    <t>FOCUS</t>
  </si>
  <si>
    <t>M1 / M7</t>
  </si>
  <si>
    <t>Isolation + restauration</t>
  </si>
  <si>
    <t>M2 / M8</t>
  </si>
  <si>
    <t>Bascule 4G + communication</t>
  </si>
  <si>
    <t>M3 / M9</t>
  </si>
  <si>
    <t>Restauration + validation</t>
  </si>
  <si>
    <t>M4 / M10</t>
  </si>
  <si>
    <t>Blocage + remédiation</t>
  </si>
  <si>
    <t>M5 / M11</t>
  </si>
  <si>
    <t>Perte accès M365</t>
  </si>
  <si>
    <t>Mode dégradé + break-glass</t>
  </si>
  <si>
    <t>M6 / M12</t>
  </si>
  <si>
    <t>Tous scénarios combinés</t>
  </si>
  <si>
    <t>SEMAINE 3 : VÉRIFICATION CONTACTS</t>
  </si>
  <si>
    <t>Vérifications OK :</t>
  </si>
  <si>
    <t>CONTACTS TESTÉS</t>
  </si>
  <si>
    <t>CONTACTS OK</t>
  </si>
  <si>
    <t>CONTACTS KO</t>
  </si>
  <si>
    <t>RÉSULTAT GLOBAL</t>
  </si>
  <si>
    <t>ACTIONS CORRECTIVES</t>
  </si>
  <si>
    <t>CONTACTS À VÉRIFIER MENSUELLEMENT</t>
  </si>
  <si>
    <t>CONTACT</t>
  </si>
  <si>
    <t>NOM/SOCIÉTÉ</t>
  </si>
  <si>
    <t>TÉLÉPHONE</t>
  </si>
  <si>
    <t>JOIGNABLE</t>
  </si>
  <si>
    <t>Commandant de crise</t>
  </si>
  <si>
    <t>[Nom]</t>
  </si>
  <si>
    <t>[06...]</t>
  </si>
  <si>
    <t>Responsable technique</t>
  </si>
  <si>
    <t>Responsable com.</t>
  </si>
  <si>
    <t>Backup commandant</t>
  </si>
  <si>
    <t>Prestataire infogérance</t>
  </si>
  <si>
    <t>[Société]</t>
  </si>
  <si>
    <t>[Tél 24/7]</t>
  </si>
  <si>
    <t>Support Microsoft 365</t>
  </si>
  <si>
    <t>Microsoft France</t>
  </si>
  <si>
    <t>0 800 91 56 19</t>
  </si>
  <si>
    <t>Assurance cyber</t>
  </si>
  <si>
    <t>[Assureur]</t>
  </si>
  <si>
    <t>[Tél sinistre]</t>
  </si>
  <si>
    <t>Compte break-glass</t>
  </si>
  <si>
    <t>breakglass@...</t>
  </si>
  <si>
    <t>Test connexion</t>
  </si>
  <si>
    <t>SEMAINE 4 : MISE À JOUR PCA</t>
  </si>
  <si>
    <t>MAJ effectuées :</t>
  </si>
  <si>
    <t>VERSION</t>
  </si>
  <si>
    <t>MODIFICATIONS APPORTÉES</t>
  </si>
  <si>
    <t>DOCUMENTS MAJ</t>
  </si>
  <si>
    <t>AUTEUR</t>
  </si>
  <si>
    <t>[X.X]</t>
  </si>
  <si>
    <t>CHECKLIST RÉVISION MENSUELLE</t>
  </si>
  <si>
    <t>FAIT</t>
  </si>
  <si>
    <t>POINT À VÉRIFIER</t>
  </si>
  <si>
    <t>NOTES</t>
  </si>
  <si>
    <t>Contacts d'urgence à jour ?</t>
  </si>
  <si>
    <t>Inventaire serveurs à jour ?</t>
  </si>
  <si>
    <t>Applications métier à jour ?</t>
  </si>
  <si>
    <t>Contrats prestataires à jour ?</t>
  </si>
  <si>
    <t>Procédures corrigées suite aux tests ?</t>
  </si>
  <si>
    <t>Scripts PowerShell fonctionnels ?</t>
  </si>
  <si>
    <t>Version PCA incrémentée ?</t>
  </si>
  <si>
    <t>Fiches réflexes réimprimées ?</t>
  </si>
  <si>
    <t>Clé USB coffre-fort mise à jour ?</t>
  </si>
  <si>
    <t>SCÉNARIOS TABLE-TOP - PRÊTS À LIRE</t>
  </si>
  <si>
    <t>Lire le scénario à voix haute à l'équipe de crise. Laisser 2 min de réflexion après chaque étape.</t>
  </si>
  <si>
    <t>🔴 SCÉNARIO 1 : RANSOMWARE</t>
  </si>
  <si>
    <t>📋 SITUATION À LIRE :</t>
  </si>
  <si>
    <t>Il est 22h15, mardi soir. Vous recevez un SMS de l'astreinte : "Alerte EDR - Comportement suspect détecté sur le poste de Marie DUPONT (Comptabilité)". 5 minutes plus tard, nouveau message : "3 autres postes affichent maintenant un écran noir avec demande de rançon en Bitcoin."</t>
  </si>
  <si>
    <t>❓ QUESTIONS À POSER :</t>
  </si>
  <si>
    <t>1. Quelle est la PREMIÈRE action à faire dans les 60 secondes ?</t>
  </si>
  <si>
    <t>2. Qui appelez-vous en premier ? Dans quel ordre ?</t>
  </si>
  <si>
    <t>3. Comment isolez-vous les machines sans être sur place ?</t>
  </si>
  <si>
    <t>4. Le ransomware s'est propagé à SharePoint. Que faites-vous ?</t>
  </si>
  <si>
    <t>5. La direction demande : "On paie ou pas ?" Que répondez-vous ?</t>
  </si>
  <si>
    <t>TWIST : Le compte admin IT principal est aussi chiffré. Comment accédez-vous à la console M365 ?</t>
  </si>
  <si>
    <t>🟠 SCÉNARIO 2 : PANNE RÉSEAU TOTALE</t>
  </si>
  <si>
    <t>Lundi 9h02. Vous arrivez au bureau. 15 personnes vous attendent : "Plus rien ne marche depuis 8h30 !". Les voyants du routeur principal sont éteints. Votre téléphone fixe ne fonctionne pas non plus (VoIP). Vous êtes seul, l'admin réseau est en congés.</t>
  </si>
  <si>
    <t>1. Comment diagnostiquez-vous rapidement : panne interne ou opérateur ?</t>
  </si>
  <si>
    <t>2. L'opérateur confirme une coupure fibre, délai estimé 4h. Que faites-vous ?</t>
  </si>
  <si>
    <t>3. Comment communiquez-vous avec les 50 collaborateurs sans email ni Teams ?</t>
  </si>
  <si>
    <t>4. Le DG a une visio client critique à 10h. Solution ?</t>
  </si>
  <si>
    <t>5. Comment maintenez-vous l'accès aux applications cloud critiques ?</t>
  </si>
  <si>
    <t>TWIST : Votre partage 4G de secours a expiré le mois dernier. Plan B ?</t>
  </si>
  <si>
    <t>🟠 SCÉNARIO 3 : PANNE SERVEUR CRITIQUE</t>
  </si>
  <si>
    <t>Mercredi 14h. Le serveur de fichiers principal (qui héberge aussi l'ERP) ne répond plus. Les voyants hardware clignotent orange. 80% des collaborateurs ne peuvent plus travailler. Le prestataire hardware annonce 24h pour intervention.</t>
  </si>
  <si>
    <t>1. Panne logicielle ou matérielle ? Comment le déterminez-vous ?</t>
  </si>
  <si>
    <t>2. La dernière sauvegarde date de cette nuit. Est-ce suffisant ? Vérifications ?</t>
  </si>
  <si>
    <t>3. Avez-vous un serveur de secours ? Si non, quel mode dégradé ?</t>
  </si>
  <si>
    <t>4. L'ERP est down. Comment gérer les commandes clients urgentes ?</t>
  </si>
  <si>
    <t>5. Communication aux équipes : que dites-vous, à quelle fréquence ?</t>
  </si>
  <si>
    <t>TWIST : La sauvegarde de cette nuit est corrompue. Dernière sauvegarde valide : J-3. Décision ?</t>
  </si>
  <si>
    <t>🟡 SCÉNARIO 4 : COMPROMISSION COMPTE VIP</t>
  </si>
  <si>
    <t>Jeudi 11h. Vous recevez un appel du DAF : "J'ai reçu un email bizarre de la DG me demandant un virement urgent de 85 000€. J'ai failli le faire mais le numéro de compte était bizarre." Vous vérifiez : l'email vient bien de l'adresse du DG. Son compte semble compromis.</t>
  </si>
  <si>
    <t>1. Action immédiate sur le compte du DG ? (ordre précis des actions)</t>
  </si>
  <si>
    <t>2. Le DG est en déplacement client, injoignable. Que faites-vous ?</t>
  </si>
  <si>
    <t>3. D'autres comptes sont-ils compromis ? Comment vérifier rapidement ?</t>
  </si>
  <si>
    <t>4. Le pirate a peut-être lu des emails confidentiels. Obligations RGPD ?</t>
  </si>
  <si>
    <t>5. Comment éviter que ça se reproduise ? (mesures immédiates)</t>
  </si>
  <si>
    <t>TWIST : Vous découvrez une règle de transfert automatique vers une adresse Gmail. Depuis combien de temps fonctionne-t-elle ?</t>
  </si>
  <si>
    <t>🟡 SCÉNARIO 5 : PERTE ACCÈS MICROSOFT 365</t>
  </si>
  <si>
    <t>Vendredi 8h45. Personne ne peut se connecter à Outlook, Teams, SharePoint. Le site status.office365.com affiche "Service Degradation" pour la France. Estimation Microsoft : 2 à 4 heures. Vous avez 3 réunions clients importantes ce matin.</t>
  </si>
  <si>
    <t>1. Confirmez-vous que c'est bien une panne Microsoft et pas locale ?</t>
  </si>
  <si>
    <t>2. Comment maintenez-vous la communication interne sans Teams/Outlook ?</t>
  </si>
  <si>
    <t>3. Les 3 réunions clients : annuler, reporter, solution alternative ?</t>
  </si>
  <si>
    <t>4. Des fichiers critiques sont sur SharePoint uniquement. Accès possible ?</t>
  </si>
  <si>
    <t>5. Communication aux équipes : quel message, quel canal ?</t>
  </si>
  <si>
    <t>TWIST : 2h plus tard, Microsoft annonce 8h supplémentaires. La journée de travail est-elle perdue ?</t>
  </si>
  <si>
    <t>⚫ SCÉNARIO 6 : TEST COMPLET (Multi-incidents)</t>
  </si>
  <si>
    <t>Samedi 3h du matin. Votre téléphone sonne : alarme incendie déclenchée dans les locaux. Les pompiers sont sur place. À 6h, vous apprenez que le local technique a subi un dégât des eaux (sprinklers). Serveurs HS, routeur HS, pas d'accès aux locaux avant 48h.</t>
  </si>
  <si>
    <t>1. Priorité absolue : données ou continuité d'activité ? Pourquoi ?</t>
  </si>
  <si>
    <t>2. Lundi matin, 50 personnes doivent travailler. Comment ?</t>
  </si>
  <si>
    <t>3. Les sauvegardes cloud sont OK. Plan de restauration ?</t>
  </si>
  <si>
    <t>4. Communication clients, fournisseurs, partenaires : qui, quand, quoi ?</t>
  </si>
  <si>
    <t>5. Assurance : quelles démarches dans les 24h ?</t>
  </si>
  <si>
    <t>6. Retour à la normale estimé : 1 semaine. Gestion de crise longue durée ?</t>
  </si>
  <si>
    <t>TWIST : Un collaborateur poste sur LinkedIn "Catastrophe chez [Entreprise], tout est détruit". Gestion de la communication externe ?</t>
  </si>
  <si>
    <t>RAPPELS CALENDRIER - À COPIER</t>
  </si>
  <si>
    <t>Copier ces événements dans votre calendrier Outlook/Google :</t>
  </si>
  <si>
    <t>RÉCURRENCE</t>
  </si>
  <si>
    <t>TITRE ÉVÉNEMENT</t>
  </si>
  <si>
    <t>DESCRIPTION</t>
  </si>
  <si>
    <t>Chaque lundi S1</t>
  </si>
  <si>
    <t>🔵 Test PCA - Sauvegardes</t>
  </si>
  <si>
    <t>15 min - Tester restauration fichier</t>
  </si>
  <si>
    <t>Chaque lundi S2</t>
  </si>
  <si>
    <t>🟠 Test PCA - Simulation</t>
  </si>
  <si>
    <t>30 min - Exercice table-top équipe crise</t>
  </si>
  <si>
    <t>Chaque lundi S3</t>
  </si>
  <si>
    <t>🟡 Test PCA - Contacts</t>
  </si>
  <si>
    <t>15 min - Vérifier joignabilité contacts</t>
  </si>
  <si>
    <t>Chaque lundi S4</t>
  </si>
  <si>
    <t>🟣 Test PCA - MAJ</t>
  </si>
  <si>
    <t>15 min - Réviser et mettre à jour PCA</t>
  </si>
  <si>
    <t>Chaque trimestre</t>
  </si>
  <si>
    <t>🔴 Test PCA COMPLET</t>
  </si>
  <si>
    <t>2h - Test grandeur nature tous scénarios</t>
  </si>
  <si>
    <t>Chaque semestre</t>
  </si>
  <si>
    <t>📋 Audit PCA</t>
  </si>
  <si>
    <t>Revue complète avec Direction</t>
  </si>
  <si>
    <t>💡 ASTUCE : Créer un calendrier partagé "Tests PCA" visible par toute l'équipe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</si>
</sst>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20"/>
      <color rgb="FF1E3A5F"/>
      <name val="Calibri"/>
      <family val="2"/>
    </font>
    <font>
      <sz val="14"/>
      <color rgb="FF666666"/>
      <name val="Calibri"/>
      <family val="2"/>
    </font>
    <font>
      <sz val="11"/>
      <color rgb="FF666666"/>
      <name val="Calibri"/>
      <family val="2"/>
    </font>
    <font>
      <b/>
      <sz val="14"/>
      <color rgb="FF1E3A5F"/>
      <name val="Calibri"/>
      <family val="2"/>
    </font>
    <font>
      <b/>
      <sz val="11"/>
      <color rgb="FFFFFFFF"/>
      <name val="Calibri"/>
      <family val="2"/>
    </font>
    <font>
      <b/>
      <sz val="16"/>
      <name val="Calibri"/>
      <family val="2"/>
    </font>
    <font>
      <b/>
      <sz val="14"/>
      <name val="Calibri"/>
      <family val="2"/>
    </font>
    <font>
      <b/>
      <sz val="16"/>
      <color rgb="FF1E3A5F"/>
      <name val="Calibri"/>
      <family val="2"/>
    </font>
    <font>
      <b/>
      <sz val="11"/>
      <color rgb="FFE67E22"/>
      <name val="Calibri"/>
      <family val="2"/>
    </font>
    <font>
      <i/>
      <sz val="11"/>
      <color rgb="FF666666"/>
      <name val="Calibri"/>
      <family val="2"/>
    </font>
    <font>
      <b/>
      <sz val="11"/>
      <name val="Calibri"/>
      <family val="2"/>
    </font>
    <font>
      <b/>
      <sz val="11"/>
      <color rgb="FFDC3545"/>
      <name val="Calibri"/>
      <family val="2"/>
    </font>
  </fonts>
  <fills count="8">
    <fill>
      <patternFill patternType="none"/>
    </fill>
    <fill>
      <patternFill patternType="gray125"/>
    </fill>
    <fill>
      <patternFill patternType="solid">
        <fgColor rgb="FF1E3A5F"/>
      </patternFill>
    </fill>
    <fill>
      <patternFill patternType="solid">
        <fgColor rgb="FFFFCCCC"/>
      </patternFill>
    </fill>
    <fill>
      <patternFill patternType="solid">
        <fgColor rgb="FFFFE6CC"/>
      </patternFill>
    </fill>
    <fill>
      <patternFill patternType="solid">
        <fgColor rgb="FFFFFFCC"/>
      </patternFill>
    </fill>
    <fill>
      <patternFill patternType="solid">
        <fgColor rgb="FFE8F5E9"/>
      </patternFill>
    </fill>
    <fill>
      <patternFill patternType="solid">
        <fgColor rgb="FFFFF3C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xfId="0"/>
    <xf numFmtId="0" fontId="3" fillId="0" borderId="0" xfId="0" applyFont="1"/>
    <xf numFmtId="0" fontId="4" fillId="0" borderId="0" xfId="0" applyFont="1"/>
    <xf numFmtId="0" fontId="5" fillId="2"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9" fontId="0" fillId="0" borderId="1" xfId="0" applyNumberFormat="1" applyBorder="1" applyAlignment="1">
      <alignment horizontal="center" vertical="center"/>
    </xf>
    <xf numFmtId="9" fontId="6" fillId="0" borderId="0" xfId="0" applyNumberFormat="1" applyFont="1"/>
    <xf numFmtId="0" fontId="7" fillId="0" borderId="0" xfId="0" applyFont="1"/>
    <xf numFmtId="0" fontId="8" fillId="0" borderId="0" xfId="0" applyFont="1"/>
    <xf numFmtId="0" fontId="9" fillId="0" borderId="0" xfId="0" applyFont="1"/>
    <xf numFmtId="0" fontId="3" fillId="0" borderId="1" xfId="0" applyFont="1" applyBorder="1" applyAlignment="1">
      <alignment horizontal="left" vertical="center"/>
    </xf>
    <xf numFmtId="0" fontId="3" fillId="0" borderId="1" xfId="0" applyFont="1" applyBorder="1" applyAlignment="1">
      <alignment horizontal="center" vertical="center"/>
    </xf>
    <xf numFmtId="0" fontId="10" fillId="0" borderId="0" xfId="0" applyFont="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11" fillId="0" borderId="0" xfId="0" applyFont="1"/>
    <xf numFmtId="0" fontId="2" fillId="0" borderId="0" xfId="0" applyFont="1" applyAlignment="1">
      <alignment horizontal="center" vertical="center"/>
    </xf>
    <xf numFmtId="0" fontId="0" fillId="0" borderId="0" xfId="0"/>
    <xf numFmtId="0" fontId="1" fillId="0" borderId="0" xfId="0" applyFont="1" applyAlignment="1">
      <alignment horizontal="center" vertical="center"/>
    </xf>
    <xf numFmtId="0" fontId="12" fillId="7" borderId="0" xfId="0" applyFont="1" applyFill="1"/>
    <xf numFmtId="0" fontId="0" fillId="0" borderId="0" xfId="0" applyAlignment="1">
      <alignment horizontal="left" vertical="center" wrapText="1"/>
    </xf>
    <xf numFmtId="0" fontId="7" fillId="5" borderId="0" xfId="0" applyFont="1" applyFill="1"/>
    <xf numFmtId="0" fontId="7" fillId="3" borderId="0" xfId="0" applyFont="1" applyFill="1"/>
    <xf numFmtId="0" fontId="7" fillId="4" borderId="0" xfId="0" applyFont="1" applyFill="1"/>
    <xf numFmtId="0" fontId="7" fillId="6"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workbookViewId="0">
      <selection activeCell="J15" sqref="J15"/>
    </sheetView>
  </sheetViews>
  <sheetFormatPr baseColWidth="10" defaultColWidth="8.83203125" defaultRowHeight="15" x14ac:dyDescent="0.2"/>
  <cols>
    <col min="1" max="1" width="30" customWidth="1"/>
    <col min="2" max="2" width="15" customWidth="1"/>
    <col min="3" max="3" width="24.33203125" customWidth="1"/>
    <col min="4" max="4" width="18.5" customWidth="1"/>
    <col min="5" max="5" width="20" customWidth="1"/>
    <col min="6" max="6" width="15" customWidth="1"/>
  </cols>
  <sheetData>
    <row r="1" spans="1:8" ht="26" x14ac:dyDescent="0.2">
      <c r="A1" s="21" t="s">
        <v>0</v>
      </c>
      <c r="B1" s="20"/>
      <c r="C1" s="20"/>
      <c r="D1" s="20"/>
      <c r="E1" s="20"/>
      <c r="F1" s="20"/>
      <c r="G1" s="20"/>
      <c r="H1" s="20"/>
    </row>
    <row r="2" spans="1:8" ht="19" x14ac:dyDescent="0.2">
      <c r="A2" s="19" t="s">
        <v>1</v>
      </c>
      <c r="B2" s="20"/>
      <c r="C2" s="20"/>
      <c r="D2" s="20"/>
      <c r="E2" s="20"/>
      <c r="F2" s="20"/>
      <c r="G2" s="20"/>
      <c r="H2" s="20"/>
    </row>
    <row r="4" spans="1:8" x14ac:dyDescent="0.2">
      <c r="A4" t="s">
        <v>2</v>
      </c>
      <c r="B4" s="1" t="s">
        <v>3</v>
      </c>
      <c r="D4" t="s">
        <v>4</v>
      </c>
      <c r="E4" s="1" t="s">
        <v>5</v>
      </c>
    </row>
    <row r="6" spans="1:8" ht="19" x14ac:dyDescent="0.25">
      <c r="A6" s="2" t="s">
        <v>6</v>
      </c>
    </row>
    <row r="7" spans="1:8" x14ac:dyDescent="0.2">
      <c r="A7" s="3" t="s">
        <v>7</v>
      </c>
      <c r="B7" s="3" t="s">
        <v>8</v>
      </c>
      <c r="C7" s="3" t="s">
        <v>9</v>
      </c>
      <c r="D7" s="3" t="s">
        <v>10</v>
      </c>
      <c r="E7" s="3" t="s">
        <v>11</v>
      </c>
    </row>
    <row r="8" spans="1:8" x14ac:dyDescent="0.2">
      <c r="A8" s="4" t="s">
        <v>12</v>
      </c>
      <c r="B8" s="5">
        <v>12</v>
      </c>
      <c r="C8" s="5">
        <f>'S1-Sauvegardes'!I2</f>
        <v>0</v>
      </c>
      <c r="D8" s="6">
        <f>IF(B8=0,0,C8/B8)</f>
        <v>0</v>
      </c>
      <c r="E8" s="5" t="str">
        <f>IF(D8&gt;=0.9,"🟢",IF(D8&gt;=0.7,"🟡","🔴"))</f>
        <v>🔴</v>
      </c>
    </row>
    <row r="9" spans="1:8" x14ac:dyDescent="0.2">
      <c r="A9" s="4" t="s">
        <v>13</v>
      </c>
      <c r="B9" s="5">
        <v>12</v>
      </c>
      <c r="C9" s="5">
        <f>'S2-Simulations'!H2</f>
        <v>0</v>
      </c>
      <c r="D9" s="6">
        <f>IF(B9=0,0,C9/B9)</f>
        <v>0</v>
      </c>
      <c r="E9" s="5" t="str">
        <f>IF(D9&gt;=0.9,"🟢",IF(D9&gt;=0.7,"🟡","🔴"))</f>
        <v>🔴</v>
      </c>
    </row>
    <row r="10" spans="1:8" x14ac:dyDescent="0.2">
      <c r="A10" s="4" t="s">
        <v>14</v>
      </c>
      <c r="B10" s="5">
        <v>12</v>
      </c>
      <c r="C10" s="5">
        <f>'S3-Contacts'!G2</f>
        <v>0</v>
      </c>
      <c r="D10" s="6">
        <f>IF(B10=0,0,C10/B10)</f>
        <v>0</v>
      </c>
      <c r="E10" s="5" t="str">
        <f>IF(D10&gt;=0.9,"🟢",IF(D10&gt;=0.7,"🟡","🔴"))</f>
        <v>🔴</v>
      </c>
    </row>
    <row r="11" spans="1:8" x14ac:dyDescent="0.2">
      <c r="A11" s="4" t="s">
        <v>15</v>
      </c>
      <c r="B11" s="5">
        <v>12</v>
      </c>
      <c r="C11" s="5">
        <f>'S4-MAJ'!F2</f>
        <v>0</v>
      </c>
      <c r="D11" s="6">
        <f>IF(B11=0,0,C11/B11)</f>
        <v>0</v>
      </c>
      <c r="E11" s="5" t="str">
        <f>IF(D11&gt;=0.9,"🟢",IF(D11&gt;=0.7,"🟡","🔴"))</f>
        <v>🔴</v>
      </c>
    </row>
    <row r="12" spans="1:8" x14ac:dyDescent="0.2">
      <c r="A12" s="4" t="s">
        <v>16</v>
      </c>
      <c r="B12" s="5">
        <v>30</v>
      </c>
      <c r="C12" s="5">
        <f>'S1-Sauvegardes'!I3</f>
        <v>0</v>
      </c>
      <c r="D12" s="6">
        <f>IF(C12&lt;=B12,1,B12/C12)</f>
        <v>1</v>
      </c>
      <c r="E12" s="5" t="str">
        <f>IF(C12&lt;=B12,"🟢",IF(C12&lt;=B12*1.5,"🟡","🔴"))</f>
        <v>🟢</v>
      </c>
    </row>
    <row r="13" spans="1:8" x14ac:dyDescent="0.2">
      <c r="A13" s="4" t="s">
        <v>17</v>
      </c>
      <c r="B13" s="5">
        <v>15</v>
      </c>
      <c r="C13" s="5" t="str">
        <f>'S2-Simulations'!H3</f>
        <v>POINTS -</v>
      </c>
      <c r="D13" s="6" t="e">
        <f>IF(C13&lt;=B13,1,B13/C13)</f>
        <v>#VALUE!</v>
      </c>
      <c r="E13" s="5" t="str">
        <f>IF(C13&lt;=B13,"🟢",IF(C13&lt;=B13*1.5,"🟡","🔴"))</f>
        <v>🔴</v>
      </c>
    </row>
    <row r="15" spans="1:8" ht="21" x14ac:dyDescent="0.25">
      <c r="A15" s="2" t="s">
        <v>18</v>
      </c>
      <c r="B15" s="7" t="e">
        <f>AVERAGE(D8:D13)</f>
        <v>#VALUE!</v>
      </c>
      <c r="C15" s="8" t="e">
        <f>IF(B15&gt;=0.9,"🟢 EXCELLENT",IF(B15&gt;=0.7,"🟡 ACCEPTABLE","🔴 ACTION REQUISE"))</f>
        <v>#VALUE!</v>
      </c>
    </row>
    <row r="17" spans="1:6" ht="19" x14ac:dyDescent="0.25">
      <c r="A17" s="2" t="s">
        <v>19</v>
      </c>
    </row>
    <row r="18" spans="1:6" x14ac:dyDescent="0.2">
      <c r="A18" s="3" t="s">
        <v>20</v>
      </c>
      <c r="B18" s="3" t="s">
        <v>21</v>
      </c>
      <c r="C18" s="3" t="s">
        <v>22</v>
      </c>
      <c r="D18" s="3" t="s">
        <v>23</v>
      </c>
      <c r="E18" s="3" t="s">
        <v>24</v>
      </c>
      <c r="F18" s="3" t="s">
        <v>11</v>
      </c>
    </row>
    <row r="19" spans="1:6" x14ac:dyDescent="0.2">
      <c r="A19" s="4" t="s">
        <v>25</v>
      </c>
      <c r="B19" s="5" t="s">
        <v>26</v>
      </c>
      <c r="C19" s="5" t="s">
        <v>27</v>
      </c>
      <c r="D19" s="5" t="s">
        <v>28</v>
      </c>
      <c r="E19" s="5" t="s">
        <v>29</v>
      </c>
      <c r="F19" s="5" t="s">
        <v>30</v>
      </c>
    </row>
    <row r="20" spans="1:6" x14ac:dyDescent="0.2">
      <c r="A20" s="4" t="s">
        <v>31</v>
      </c>
      <c r="B20" s="5" t="s">
        <v>32</v>
      </c>
      <c r="C20" s="5" t="s">
        <v>33</v>
      </c>
      <c r="D20" s="5" t="s">
        <v>34</v>
      </c>
      <c r="E20" s="5" t="s">
        <v>35</v>
      </c>
      <c r="F20" s="5" t="s">
        <v>30</v>
      </c>
    </row>
    <row r="21" spans="1:6" x14ac:dyDescent="0.2">
      <c r="A21" s="4" t="s">
        <v>36</v>
      </c>
      <c r="B21" s="5" t="s">
        <v>37</v>
      </c>
      <c r="C21" s="5" t="s">
        <v>38</v>
      </c>
      <c r="D21" s="5" t="s">
        <v>28</v>
      </c>
      <c r="E21" s="5" t="s">
        <v>39</v>
      </c>
      <c r="F21" s="5" t="s">
        <v>30</v>
      </c>
    </row>
    <row r="22" spans="1:6" x14ac:dyDescent="0.2">
      <c r="A22" s="4" t="s">
        <v>40</v>
      </c>
      <c r="B22" s="5" t="s">
        <v>41</v>
      </c>
      <c r="C22" s="5" t="s">
        <v>42</v>
      </c>
      <c r="D22" s="5" t="s">
        <v>28</v>
      </c>
      <c r="E22" s="5" t="s">
        <v>35</v>
      </c>
      <c r="F22" s="5" t="s">
        <v>30</v>
      </c>
    </row>
    <row r="24" spans="1:6" ht="19" x14ac:dyDescent="0.25">
      <c r="A24" s="2" t="s">
        <v>43</v>
      </c>
    </row>
    <row r="25" spans="1:6" x14ac:dyDescent="0.2">
      <c r="A25" t="s">
        <v>44</v>
      </c>
      <c r="B25" t="s">
        <v>45</v>
      </c>
      <c r="C25" t="s">
        <v>46</v>
      </c>
      <c r="D25" t="s">
        <v>45</v>
      </c>
      <c r="E25" t="s">
        <v>47</v>
      </c>
      <c r="F25" t="s">
        <v>45</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workbookViewId="0">
      <selection activeCell="F42" sqref="F42"/>
    </sheetView>
  </sheetViews>
  <sheetFormatPr baseColWidth="10" defaultColWidth="8.83203125" defaultRowHeight="15" x14ac:dyDescent="0.2"/>
  <cols>
    <col min="1" max="8" width="18" customWidth="1"/>
  </cols>
  <sheetData>
    <row r="1" spans="1:9" ht="21" x14ac:dyDescent="0.25">
      <c r="A1" s="9" t="s">
        <v>48</v>
      </c>
      <c r="H1" s="10" t="s">
        <v>49</v>
      </c>
    </row>
    <row r="2" spans="1:9" x14ac:dyDescent="0.2">
      <c r="H2" t="s">
        <v>50</v>
      </c>
      <c r="I2">
        <f>COUNTIF(E5:E16,"OK")</f>
        <v>0</v>
      </c>
    </row>
    <row r="3" spans="1:9" x14ac:dyDescent="0.2">
      <c r="A3" s="3" t="s">
        <v>51</v>
      </c>
      <c r="B3" s="3" t="s">
        <v>52</v>
      </c>
      <c r="C3" s="3" t="s">
        <v>53</v>
      </c>
      <c r="D3" s="3" t="s">
        <v>54</v>
      </c>
      <c r="E3" s="3" t="s">
        <v>55</v>
      </c>
      <c r="F3" s="3" t="s">
        <v>56</v>
      </c>
      <c r="G3" s="3" t="s">
        <v>57</v>
      </c>
      <c r="H3" s="3" t="s">
        <v>58</v>
      </c>
      <c r="I3">
        <f>IFERROR(AVERAGE(G5:G16),0)</f>
        <v>0</v>
      </c>
    </row>
    <row r="4" spans="1:9" x14ac:dyDescent="0.2">
      <c r="A4" s="11" t="s">
        <v>59</v>
      </c>
      <c r="B4" s="12" t="s">
        <v>60</v>
      </c>
      <c r="C4" s="12" t="s">
        <v>61</v>
      </c>
      <c r="D4" s="5" t="s">
        <v>62</v>
      </c>
      <c r="E4" s="5"/>
      <c r="F4" s="5"/>
      <c r="G4" s="5"/>
      <c r="H4" s="12" t="s">
        <v>63</v>
      </c>
    </row>
    <row r="5" spans="1:9" x14ac:dyDescent="0.2">
      <c r="A5" s="11" t="s">
        <v>59</v>
      </c>
      <c r="B5" s="12" t="s">
        <v>60</v>
      </c>
      <c r="C5" s="12" t="s">
        <v>61</v>
      </c>
      <c r="D5" s="5" t="s">
        <v>62</v>
      </c>
      <c r="E5" s="5"/>
      <c r="F5" s="5"/>
      <c r="G5" s="5"/>
      <c r="H5" s="12" t="s">
        <v>63</v>
      </c>
    </row>
    <row r="6" spans="1:9" x14ac:dyDescent="0.2">
      <c r="A6" s="11" t="s">
        <v>59</v>
      </c>
      <c r="B6" s="12" t="s">
        <v>60</v>
      </c>
      <c r="C6" s="12" t="s">
        <v>61</v>
      </c>
      <c r="D6" s="5" t="s">
        <v>62</v>
      </c>
      <c r="E6" s="5"/>
      <c r="F6" s="5"/>
      <c r="G6" s="5"/>
      <c r="H6" s="12" t="s">
        <v>63</v>
      </c>
    </row>
    <row r="7" spans="1:9" x14ac:dyDescent="0.2">
      <c r="A7" s="11" t="s">
        <v>59</v>
      </c>
      <c r="B7" s="12" t="s">
        <v>60</v>
      </c>
      <c r="C7" s="12" t="s">
        <v>61</v>
      </c>
      <c r="D7" s="5" t="s">
        <v>62</v>
      </c>
      <c r="E7" s="5"/>
      <c r="F7" s="5"/>
      <c r="G7" s="5"/>
      <c r="H7" s="12" t="s">
        <v>63</v>
      </c>
    </row>
    <row r="8" spans="1:9" x14ac:dyDescent="0.2">
      <c r="A8" s="11" t="s">
        <v>59</v>
      </c>
      <c r="B8" s="12" t="s">
        <v>60</v>
      </c>
      <c r="C8" s="12" t="s">
        <v>61</v>
      </c>
      <c r="D8" s="5" t="s">
        <v>62</v>
      </c>
      <c r="E8" s="5"/>
      <c r="F8" s="5"/>
      <c r="G8" s="5"/>
      <c r="H8" s="12" t="s">
        <v>63</v>
      </c>
    </row>
    <row r="9" spans="1:9" x14ac:dyDescent="0.2">
      <c r="A9" s="11" t="s">
        <v>59</v>
      </c>
      <c r="B9" s="12" t="s">
        <v>60</v>
      </c>
      <c r="C9" s="12" t="s">
        <v>61</v>
      </c>
      <c r="D9" s="5" t="s">
        <v>62</v>
      </c>
      <c r="E9" s="5"/>
      <c r="F9" s="5"/>
      <c r="G9" s="5"/>
      <c r="H9" s="12" t="s">
        <v>63</v>
      </c>
    </row>
    <row r="10" spans="1:9" x14ac:dyDescent="0.2">
      <c r="A10" s="11" t="s">
        <v>59</v>
      </c>
      <c r="B10" s="12" t="s">
        <v>60</v>
      </c>
      <c r="C10" s="12" t="s">
        <v>61</v>
      </c>
      <c r="D10" s="5" t="s">
        <v>62</v>
      </c>
      <c r="E10" s="5"/>
      <c r="F10" s="5"/>
      <c r="G10" s="5"/>
      <c r="H10" s="12" t="s">
        <v>63</v>
      </c>
    </row>
    <row r="11" spans="1:9" x14ac:dyDescent="0.2">
      <c r="A11" s="11" t="s">
        <v>59</v>
      </c>
      <c r="B11" s="12" t="s">
        <v>60</v>
      </c>
      <c r="C11" s="12" t="s">
        <v>61</v>
      </c>
      <c r="D11" s="5" t="s">
        <v>62</v>
      </c>
      <c r="E11" s="5"/>
      <c r="F11" s="5"/>
      <c r="G11" s="5"/>
      <c r="H11" s="12" t="s">
        <v>63</v>
      </c>
    </row>
    <row r="12" spans="1:9" x14ac:dyDescent="0.2">
      <c r="A12" s="11" t="s">
        <v>59</v>
      </c>
      <c r="B12" s="12" t="s">
        <v>60</v>
      </c>
      <c r="C12" s="12" t="s">
        <v>61</v>
      </c>
      <c r="D12" s="5" t="s">
        <v>62</v>
      </c>
      <c r="E12" s="5"/>
      <c r="F12" s="5"/>
      <c r="G12" s="5"/>
      <c r="H12" s="12" t="s">
        <v>63</v>
      </c>
    </row>
    <row r="13" spans="1:9" x14ac:dyDescent="0.2">
      <c r="A13" s="11" t="s">
        <v>59</v>
      </c>
      <c r="B13" s="12" t="s">
        <v>60</v>
      </c>
      <c r="C13" s="12" t="s">
        <v>61</v>
      </c>
      <c r="D13" s="5" t="s">
        <v>62</v>
      </c>
      <c r="E13" s="5"/>
      <c r="F13" s="5"/>
      <c r="G13" s="5"/>
      <c r="H13" s="12" t="s">
        <v>63</v>
      </c>
    </row>
    <row r="14" spans="1:9" x14ac:dyDescent="0.2">
      <c r="A14" s="11" t="s">
        <v>59</v>
      </c>
      <c r="B14" s="12" t="s">
        <v>60</v>
      </c>
      <c r="C14" s="12" t="s">
        <v>61</v>
      </c>
      <c r="D14" s="5" t="s">
        <v>62</v>
      </c>
      <c r="E14" s="5"/>
      <c r="F14" s="5"/>
      <c r="G14" s="5"/>
      <c r="H14" s="12" t="s">
        <v>63</v>
      </c>
    </row>
    <row r="15" spans="1:9" x14ac:dyDescent="0.2">
      <c r="A15" s="11" t="s">
        <v>59</v>
      </c>
      <c r="B15" s="12" t="s">
        <v>60</v>
      </c>
      <c r="C15" s="12" t="s">
        <v>61</v>
      </c>
      <c r="D15" s="5" t="s">
        <v>62</v>
      </c>
      <c r="E15" s="5"/>
      <c r="F15" s="5"/>
      <c r="G15" s="5"/>
      <c r="H15" s="12" t="s">
        <v>63</v>
      </c>
    </row>
    <row r="17" spans="1:1" x14ac:dyDescent="0.2">
      <c r="A17" s="13" t="s">
        <v>64</v>
      </c>
    </row>
    <row r="19" spans="1:1" ht="19" x14ac:dyDescent="0.25">
      <c r="A19" s="2" t="s">
        <v>65</v>
      </c>
    </row>
    <row r="20" spans="1:1" x14ac:dyDescent="0.2">
      <c r="A20" t="s">
        <v>66</v>
      </c>
    </row>
    <row r="21" spans="1:1" x14ac:dyDescent="0.2">
      <c r="A21" t="s">
        <v>67</v>
      </c>
    </row>
    <row r="22" spans="1:1" x14ac:dyDescent="0.2">
      <c r="A22" t="s">
        <v>68</v>
      </c>
    </row>
    <row r="23" spans="1:1" x14ac:dyDescent="0.2">
      <c r="A23" t="s">
        <v>69</v>
      </c>
    </row>
    <row r="24" spans="1:1" x14ac:dyDescent="0.2">
      <c r="A24" t="s">
        <v>70</v>
      </c>
    </row>
    <row r="25" spans="1:1" x14ac:dyDescent="0.2">
      <c r="A25" t="s">
        <v>71</v>
      </c>
    </row>
    <row r="26" spans="1:1" x14ac:dyDescent="0.2">
      <c r="A26" t="s">
        <v>72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
  <sheetViews>
    <sheetView workbookViewId="0"/>
  </sheetViews>
  <sheetFormatPr baseColWidth="10" defaultColWidth="8.83203125" defaultRowHeight="15" x14ac:dyDescent="0.2"/>
  <cols>
    <col min="1" max="2" width="20" customWidth="1"/>
    <col min="3" max="3" width="29" customWidth="1"/>
    <col min="4" max="8" width="20" customWidth="1"/>
  </cols>
  <sheetData>
    <row r="1" spans="1:8" ht="21" x14ac:dyDescent="0.25">
      <c r="A1" s="9" t="s">
        <v>73</v>
      </c>
      <c r="G1" s="10" t="s">
        <v>49</v>
      </c>
    </row>
    <row r="2" spans="1:8" x14ac:dyDescent="0.2">
      <c r="G2" t="s">
        <v>74</v>
      </c>
      <c r="H2">
        <f>COUNTIF(E5:E16,"OK")</f>
        <v>0</v>
      </c>
    </row>
    <row r="3" spans="1:8" x14ac:dyDescent="0.2">
      <c r="A3" s="3" t="s">
        <v>51</v>
      </c>
      <c r="B3" s="3" t="s">
        <v>75</v>
      </c>
      <c r="C3" s="3" t="s">
        <v>76</v>
      </c>
      <c r="D3" s="3" t="s">
        <v>77</v>
      </c>
      <c r="E3" s="3" t="s">
        <v>55</v>
      </c>
      <c r="F3" s="3" t="s">
        <v>78</v>
      </c>
      <c r="G3" s="3" t="s">
        <v>79</v>
      </c>
      <c r="H3" s="3" t="s">
        <v>80</v>
      </c>
    </row>
    <row r="4" spans="1:8" x14ac:dyDescent="0.2">
      <c r="A4" s="11" t="s">
        <v>59</v>
      </c>
      <c r="B4" s="5" t="s">
        <v>81</v>
      </c>
      <c r="C4" s="12" t="s">
        <v>82</v>
      </c>
      <c r="D4" s="5" t="s">
        <v>83</v>
      </c>
      <c r="E4" s="5"/>
      <c r="F4" s="5"/>
      <c r="G4" s="5"/>
      <c r="H4" s="5"/>
    </row>
    <row r="5" spans="1:8" x14ac:dyDescent="0.2">
      <c r="A5" s="11" t="s">
        <v>59</v>
      </c>
      <c r="B5" s="5" t="s">
        <v>84</v>
      </c>
      <c r="C5" s="12" t="s">
        <v>82</v>
      </c>
      <c r="D5" s="5" t="s">
        <v>83</v>
      </c>
      <c r="E5" s="5"/>
      <c r="F5" s="5"/>
      <c r="G5" s="5"/>
      <c r="H5" s="5"/>
    </row>
    <row r="6" spans="1:8" x14ac:dyDescent="0.2">
      <c r="A6" s="11" t="s">
        <v>59</v>
      </c>
      <c r="B6" s="5" t="s">
        <v>85</v>
      </c>
      <c r="C6" s="12" t="s">
        <v>82</v>
      </c>
      <c r="D6" s="5" t="s">
        <v>83</v>
      </c>
      <c r="E6" s="5"/>
      <c r="F6" s="5"/>
      <c r="G6" s="5"/>
      <c r="H6" s="5"/>
    </row>
    <row r="7" spans="1:8" x14ac:dyDescent="0.2">
      <c r="A7" s="11" t="s">
        <v>59</v>
      </c>
      <c r="B7" s="5" t="s">
        <v>86</v>
      </c>
      <c r="C7" s="12" t="s">
        <v>82</v>
      </c>
      <c r="D7" s="5" t="s">
        <v>83</v>
      </c>
      <c r="E7" s="5"/>
      <c r="F7" s="5"/>
      <c r="G7" s="5"/>
      <c r="H7" s="5"/>
    </row>
    <row r="8" spans="1:8" x14ac:dyDescent="0.2">
      <c r="A8" s="11" t="s">
        <v>59</v>
      </c>
      <c r="B8" s="5" t="s">
        <v>87</v>
      </c>
      <c r="C8" s="12" t="s">
        <v>82</v>
      </c>
      <c r="D8" s="5" t="s">
        <v>83</v>
      </c>
      <c r="E8" s="5"/>
      <c r="F8" s="5"/>
      <c r="G8" s="5"/>
      <c r="H8" s="5"/>
    </row>
    <row r="9" spans="1:8" x14ac:dyDescent="0.2">
      <c r="A9" s="11" t="s">
        <v>59</v>
      </c>
      <c r="B9" s="5" t="s">
        <v>88</v>
      </c>
      <c r="C9" s="12" t="s">
        <v>82</v>
      </c>
      <c r="D9" s="5" t="s">
        <v>83</v>
      </c>
      <c r="E9" s="5"/>
      <c r="F9" s="5"/>
      <c r="G9" s="5"/>
      <c r="H9" s="5"/>
    </row>
    <row r="10" spans="1:8" x14ac:dyDescent="0.2">
      <c r="A10" s="11" t="s">
        <v>59</v>
      </c>
      <c r="B10" s="5" t="s">
        <v>81</v>
      </c>
      <c r="C10" s="12" t="s">
        <v>82</v>
      </c>
      <c r="D10" s="5" t="s">
        <v>83</v>
      </c>
      <c r="E10" s="5"/>
      <c r="F10" s="5"/>
      <c r="G10" s="5"/>
      <c r="H10" s="5"/>
    </row>
    <row r="11" spans="1:8" x14ac:dyDescent="0.2">
      <c r="A11" s="11" t="s">
        <v>59</v>
      </c>
      <c r="B11" s="5" t="s">
        <v>84</v>
      </c>
      <c r="C11" s="12" t="s">
        <v>82</v>
      </c>
      <c r="D11" s="5" t="s">
        <v>83</v>
      </c>
      <c r="E11" s="5"/>
      <c r="F11" s="5"/>
      <c r="G11" s="5"/>
      <c r="H11" s="5"/>
    </row>
    <row r="12" spans="1:8" x14ac:dyDescent="0.2">
      <c r="A12" s="11" t="s">
        <v>59</v>
      </c>
      <c r="B12" s="5" t="s">
        <v>85</v>
      </c>
      <c r="C12" s="12" t="s">
        <v>82</v>
      </c>
      <c r="D12" s="5" t="s">
        <v>83</v>
      </c>
      <c r="E12" s="5"/>
      <c r="F12" s="5"/>
      <c r="G12" s="5"/>
      <c r="H12" s="5"/>
    </row>
    <row r="13" spans="1:8" x14ac:dyDescent="0.2">
      <c r="A13" s="11" t="s">
        <v>59</v>
      </c>
      <c r="B13" s="5" t="s">
        <v>86</v>
      </c>
      <c r="C13" s="12" t="s">
        <v>82</v>
      </c>
      <c r="D13" s="5" t="s">
        <v>83</v>
      </c>
      <c r="E13" s="5"/>
      <c r="F13" s="5"/>
      <c r="G13" s="5"/>
      <c r="H13" s="5"/>
    </row>
    <row r="14" spans="1:8" x14ac:dyDescent="0.2">
      <c r="A14" s="11" t="s">
        <v>59</v>
      </c>
      <c r="B14" s="5" t="s">
        <v>87</v>
      </c>
      <c r="C14" s="12" t="s">
        <v>82</v>
      </c>
      <c r="D14" s="5" t="s">
        <v>83</v>
      </c>
      <c r="E14" s="5"/>
      <c r="F14" s="5"/>
      <c r="G14" s="5"/>
      <c r="H14" s="5"/>
    </row>
    <row r="15" spans="1:8" x14ac:dyDescent="0.2">
      <c r="A15" s="11" t="s">
        <v>59</v>
      </c>
      <c r="B15" s="5" t="s">
        <v>88</v>
      </c>
      <c r="C15" s="12" t="s">
        <v>82</v>
      </c>
      <c r="D15" s="5" t="s">
        <v>83</v>
      </c>
      <c r="E15" s="5"/>
      <c r="F15" s="5"/>
      <c r="G15" s="5"/>
      <c r="H15" s="5"/>
    </row>
    <row r="17" spans="1:3" ht="19" x14ac:dyDescent="0.25">
      <c r="A17" s="2" t="s">
        <v>89</v>
      </c>
    </row>
    <row r="18" spans="1:3" x14ac:dyDescent="0.2">
      <c r="A18" s="3" t="s">
        <v>90</v>
      </c>
      <c r="B18" s="3" t="s">
        <v>75</v>
      </c>
      <c r="C18" s="3" t="s">
        <v>91</v>
      </c>
    </row>
    <row r="19" spans="1:3" x14ac:dyDescent="0.2">
      <c r="A19" s="14" t="s">
        <v>92</v>
      </c>
      <c r="B19" s="14" t="s">
        <v>81</v>
      </c>
      <c r="C19" s="14" t="s">
        <v>93</v>
      </c>
    </row>
    <row r="20" spans="1:3" x14ac:dyDescent="0.2">
      <c r="A20" s="15" t="s">
        <v>94</v>
      </c>
      <c r="B20" s="15" t="s">
        <v>84</v>
      </c>
      <c r="C20" s="15" t="s">
        <v>95</v>
      </c>
    </row>
    <row r="21" spans="1:3" x14ac:dyDescent="0.2">
      <c r="A21" s="15" t="s">
        <v>96</v>
      </c>
      <c r="B21" s="15" t="s">
        <v>85</v>
      </c>
      <c r="C21" s="15" t="s">
        <v>97</v>
      </c>
    </row>
    <row r="22" spans="1:3" x14ac:dyDescent="0.2">
      <c r="A22" s="16" t="s">
        <v>98</v>
      </c>
      <c r="B22" s="16" t="s">
        <v>86</v>
      </c>
      <c r="C22" s="16" t="s">
        <v>99</v>
      </c>
    </row>
    <row r="23" spans="1:3" x14ac:dyDescent="0.2">
      <c r="A23" s="16" t="s">
        <v>100</v>
      </c>
      <c r="B23" s="16" t="s">
        <v>101</v>
      </c>
      <c r="C23" s="16" t="s">
        <v>102</v>
      </c>
    </row>
    <row r="24" spans="1:3" x14ac:dyDescent="0.2">
      <c r="A24" s="17" t="s">
        <v>103</v>
      </c>
      <c r="B24" s="17" t="s">
        <v>88</v>
      </c>
      <c r="C24" s="17" t="s">
        <v>104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
  <sheetViews>
    <sheetView workbookViewId="0">
      <selection activeCell="D35" sqref="D35"/>
    </sheetView>
  </sheetViews>
  <sheetFormatPr baseColWidth="10" defaultColWidth="8.83203125" defaultRowHeight="15" x14ac:dyDescent="0.2"/>
  <cols>
    <col min="1" max="6" width="25" customWidth="1"/>
  </cols>
  <sheetData>
    <row r="1" spans="1:7" ht="21" x14ac:dyDescent="0.25">
      <c r="A1" s="9" t="s">
        <v>105</v>
      </c>
      <c r="F1" s="10" t="s">
        <v>49</v>
      </c>
    </row>
    <row r="2" spans="1:7" x14ac:dyDescent="0.2">
      <c r="F2" t="s">
        <v>106</v>
      </c>
      <c r="G2">
        <f>COUNTIF(E5:E16,"OK")</f>
        <v>0</v>
      </c>
    </row>
    <row r="3" spans="1:7" x14ac:dyDescent="0.2">
      <c r="A3" s="3" t="s">
        <v>51</v>
      </c>
      <c r="B3" s="3" t="s">
        <v>107</v>
      </c>
      <c r="C3" s="3" t="s">
        <v>108</v>
      </c>
      <c r="D3" s="3" t="s">
        <v>109</v>
      </c>
      <c r="E3" s="3" t="s">
        <v>110</v>
      </c>
      <c r="F3" s="3" t="s">
        <v>111</v>
      </c>
    </row>
    <row r="4" spans="1:7" x14ac:dyDescent="0.2">
      <c r="A4" s="11" t="s">
        <v>59</v>
      </c>
      <c r="B4" s="5"/>
      <c r="C4" s="5"/>
      <c r="D4" s="5"/>
      <c r="E4" s="5"/>
      <c r="F4" s="5"/>
    </row>
    <row r="5" spans="1:7" x14ac:dyDescent="0.2">
      <c r="A5" s="11" t="s">
        <v>59</v>
      </c>
      <c r="B5" s="5"/>
      <c r="C5" s="5"/>
      <c r="D5" s="5"/>
      <c r="E5" s="5"/>
      <c r="F5" s="5"/>
    </row>
    <row r="6" spans="1:7" x14ac:dyDescent="0.2">
      <c r="A6" s="11" t="s">
        <v>59</v>
      </c>
      <c r="B6" s="5"/>
      <c r="C6" s="5"/>
      <c r="D6" s="5"/>
      <c r="E6" s="5"/>
      <c r="F6" s="5"/>
    </row>
    <row r="7" spans="1:7" x14ac:dyDescent="0.2">
      <c r="A7" s="11" t="s">
        <v>59</v>
      </c>
      <c r="B7" s="5"/>
      <c r="C7" s="5"/>
      <c r="D7" s="5"/>
      <c r="E7" s="5"/>
      <c r="F7" s="5"/>
    </row>
    <row r="8" spans="1:7" x14ac:dyDescent="0.2">
      <c r="A8" s="11" t="s">
        <v>59</v>
      </c>
      <c r="B8" s="5"/>
      <c r="C8" s="5"/>
      <c r="D8" s="5"/>
      <c r="E8" s="5"/>
      <c r="F8" s="5"/>
    </row>
    <row r="9" spans="1:7" x14ac:dyDescent="0.2">
      <c r="A9" s="11" t="s">
        <v>59</v>
      </c>
      <c r="B9" s="5"/>
      <c r="C9" s="5"/>
      <c r="D9" s="5"/>
      <c r="E9" s="5"/>
      <c r="F9" s="5"/>
    </row>
    <row r="10" spans="1:7" x14ac:dyDescent="0.2">
      <c r="A10" s="11" t="s">
        <v>59</v>
      </c>
      <c r="B10" s="5"/>
      <c r="C10" s="5"/>
      <c r="D10" s="5"/>
      <c r="E10" s="5"/>
      <c r="F10" s="5"/>
    </row>
    <row r="11" spans="1:7" x14ac:dyDescent="0.2">
      <c r="A11" s="11" t="s">
        <v>59</v>
      </c>
      <c r="B11" s="5"/>
      <c r="C11" s="5"/>
      <c r="D11" s="5"/>
      <c r="E11" s="5"/>
      <c r="F11" s="5"/>
    </row>
    <row r="12" spans="1:7" x14ac:dyDescent="0.2">
      <c r="A12" s="11" t="s">
        <v>59</v>
      </c>
      <c r="B12" s="5"/>
      <c r="C12" s="5"/>
      <c r="D12" s="5"/>
      <c r="E12" s="5"/>
      <c r="F12" s="5"/>
    </row>
    <row r="13" spans="1:7" x14ac:dyDescent="0.2">
      <c r="A13" s="11" t="s">
        <v>59</v>
      </c>
      <c r="B13" s="5"/>
      <c r="C13" s="5"/>
      <c r="D13" s="5"/>
      <c r="E13" s="5"/>
      <c r="F13" s="5"/>
    </row>
    <row r="14" spans="1:7" x14ac:dyDescent="0.2">
      <c r="A14" s="11" t="s">
        <v>59</v>
      </c>
      <c r="B14" s="5"/>
      <c r="C14" s="5"/>
      <c r="D14" s="5"/>
      <c r="E14" s="5"/>
      <c r="F14" s="5"/>
    </row>
    <row r="15" spans="1:7" x14ac:dyDescent="0.2">
      <c r="A15" s="11" t="s">
        <v>59</v>
      </c>
      <c r="B15" s="5"/>
      <c r="C15" s="5"/>
      <c r="D15" s="5"/>
      <c r="E15" s="5"/>
      <c r="F15" s="5"/>
    </row>
    <row r="17" spans="1:4" ht="19" x14ac:dyDescent="0.25">
      <c r="A17" s="2" t="s">
        <v>112</v>
      </c>
    </row>
    <row r="18" spans="1:4" x14ac:dyDescent="0.2">
      <c r="A18" s="3" t="s">
        <v>113</v>
      </c>
      <c r="B18" s="3" t="s">
        <v>114</v>
      </c>
      <c r="C18" s="3" t="s">
        <v>115</v>
      </c>
      <c r="D18" s="3" t="s">
        <v>116</v>
      </c>
    </row>
    <row r="19" spans="1:4" x14ac:dyDescent="0.2">
      <c r="A19" s="4" t="s">
        <v>117</v>
      </c>
      <c r="B19" s="12" t="s">
        <v>118</v>
      </c>
      <c r="C19" s="12" t="s">
        <v>119</v>
      </c>
      <c r="D19" s="5" t="s">
        <v>30</v>
      </c>
    </row>
    <row r="20" spans="1:4" x14ac:dyDescent="0.2">
      <c r="A20" s="4" t="s">
        <v>120</v>
      </c>
      <c r="B20" s="12" t="s">
        <v>118</v>
      </c>
      <c r="C20" s="12" t="s">
        <v>119</v>
      </c>
      <c r="D20" s="5" t="s">
        <v>30</v>
      </c>
    </row>
    <row r="21" spans="1:4" x14ac:dyDescent="0.2">
      <c r="A21" s="4" t="s">
        <v>121</v>
      </c>
      <c r="B21" s="12" t="s">
        <v>118</v>
      </c>
      <c r="C21" s="12" t="s">
        <v>119</v>
      </c>
      <c r="D21" s="5" t="s">
        <v>30</v>
      </c>
    </row>
    <row r="22" spans="1:4" x14ac:dyDescent="0.2">
      <c r="A22" s="4" t="s">
        <v>122</v>
      </c>
      <c r="B22" s="12" t="s">
        <v>118</v>
      </c>
      <c r="C22" s="12" t="s">
        <v>119</v>
      </c>
      <c r="D22" s="5" t="s">
        <v>30</v>
      </c>
    </row>
    <row r="23" spans="1:4" x14ac:dyDescent="0.2">
      <c r="A23" s="4" t="s">
        <v>123</v>
      </c>
      <c r="B23" s="12" t="s">
        <v>124</v>
      </c>
      <c r="C23" s="12" t="s">
        <v>125</v>
      </c>
      <c r="D23" s="5" t="s">
        <v>30</v>
      </c>
    </row>
    <row r="24" spans="1:4" x14ac:dyDescent="0.2">
      <c r="A24" s="4" t="s">
        <v>126</v>
      </c>
      <c r="B24" s="5" t="s">
        <v>127</v>
      </c>
      <c r="C24" s="5" t="s">
        <v>128</v>
      </c>
      <c r="D24" s="5" t="s">
        <v>30</v>
      </c>
    </row>
    <row r="25" spans="1:4" x14ac:dyDescent="0.2">
      <c r="A25" s="4" t="s">
        <v>129</v>
      </c>
      <c r="B25" s="12" t="s">
        <v>130</v>
      </c>
      <c r="C25" s="12" t="s">
        <v>131</v>
      </c>
      <c r="D25" s="5" t="s">
        <v>30</v>
      </c>
    </row>
    <row r="26" spans="1:4" x14ac:dyDescent="0.2">
      <c r="A26" s="4" t="s">
        <v>132</v>
      </c>
      <c r="B26" s="5" t="s">
        <v>133</v>
      </c>
      <c r="C26" s="5" t="s">
        <v>134</v>
      </c>
      <c r="D26" s="5" t="s">
        <v>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7"/>
  <sheetViews>
    <sheetView workbookViewId="0">
      <selection activeCell="B33" sqref="B33"/>
    </sheetView>
  </sheetViews>
  <sheetFormatPr baseColWidth="10" defaultColWidth="8.83203125" defaultRowHeight="15" x14ac:dyDescent="0.2"/>
  <cols>
    <col min="1" max="5" width="35" customWidth="1"/>
  </cols>
  <sheetData>
    <row r="1" spans="1:6" ht="21" x14ac:dyDescent="0.25">
      <c r="A1" s="9" t="s">
        <v>135</v>
      </c>
      <c r="E1" s="10" t="s">
        <v>49</v>
      </c>
    </row>
    <row r="2" spans="1:6" x14ac:dyDescent="0.2">
      <c r="E2" t="s">
        <v>136</v>
      </c>
      <c r="F2">
        <f>COUNTA(A5:A16)-COUNTIF(A5:A16,"[JJ/MM]")</f>
        <v>0</v>
      </c>
    </row>
    <row r="3" spans="1:6" x14ac:dyDescent="0.2">
      <c r="A3" s="3" t="s">
        <v>51</v>
      </c>
      <c r="B3" s="3" t="s">
        <v>137</v>
      </c>
      <c r="C3" s="3" t="s">
        <v>138</v>
      </c>
      <c r="D3" s="3" t="s">
        <v>139</v>
      </c>
      <c r="E3" s="3" t="s">
        <v>140</v>
      </c>
    </row>
    <row r="4" spans="1:6" x14ac:dyDescent="0.2">
      <c r="A4" s="11" t="s">
        <v>59</v>
      </c>
      <c r="B4" s="12" t="s">
        <v>141</v>
      </c>
      <c r="C4" s="5"/>
      <c r="D4" s="5"/>
      <c r="E4" s="12" t="s">
        <v>63</v>
      </c>
    </row>
    <row r="5" spans="1:6" x14ac:dyDescent="0.2">
      <c r="A5" s="11" t="s">
        <v>59</v>
      </c>
      <c r="B5" s="12" t="s">
        <v>141</v>
      </c>
      <c r="C5" s="5"/>
      <c r="D5" s="5"/>
      <c r="E5" s="12" t="s">
        <v>63</v>
      </c>
    </row>
    <row r="6" spans="1:6" x14ac:dyDescent="0.2">
      <c r="A6" s="11" t="s">
        <v>59</v>
      </c>
      <c r="B6" s="12" t="s">
        <v>141</v>
      </c>
      <c r="C6" s="5"/>
      <c r="D6" s="5"/>
      <c r="E6" s="12" t="s">
        <v>63</v>
      </c>
    </row>
    <row r="7" spans="1:6" x14ac:dyDescent="0.2">
      <c r="A7" s="11" t="s">
        <v>59</v>
      </c>
      <c r="B7" s="12" t="s">
        <v>141</v>
      </c>
      <c r="C7" s="5"/>
      <c r="D7" s="5"/>
      <c r="E7" s="12" t="s">
        <v>63</v>
      </c>
    </row>
    <row r="8" spans="1:6" x14ac:dyDescent="0.2">
      <c r="A8" s="11" t="s">
        <v>59</v>
      </c>
      <c r="B8" s="12" t="s">
        <v>141</v>
      </c>
      <c r="C8" s="5"/>
      <c r="D8" s="5"/>
      <c r="E8" s="12" t="s">
        <v>63</v>
      </c>
    </row>
    <row r="9" spans="1:6" x14ac:dyDescent="0.2">
      <c r="A9" s="11" t="s">
        <v>59</v>
      </c>
      <c r="B9" s="12" t="s">
        <v>141</v>
      </c>
      <c r="C9" s="5"/>
      <c r="D9" s="5"/>
      <c r="E9" s="12" t="s">
        <v>63</v>
      </c>
    </row>
    <row r="10" spans="1:6" x14ac:dyDescent="0.2">
      <c r="A10" s="11" t="s">
        <v>59</v>
      </c>
      <c r="B10" s="12" t="s">
        <v>141</v>
      </c>
      <c r="C10" s="5"/>
      <c r="D10" s="5"/>
      <c r="E10" s="12" t="s">
        <v>63</v>
      </c>
    </row>
    <row r="11" spans="1:6" x14ac:dyDescent="0.2">
      <c r="A11" s="11" t="s">
        <v>59</v>
      </c>
      <c r="B11" s="12" t="s">
        <v>141</v>
      </c>
      <c r="C11" s="5"/>
      <c r="D11" s="5"/>
      <c r="E11" s="12" t="s">
        <v>63</v>
      </c>
    </row>
    <row r="12" spans="1:6" x14ac:dyDescent="0.2">
      <c r="A12" s="11" t="s">
        <v>59</v>
      </c>
      <c r="B12" s="12" t="s">
        <v>141</v>
      </c>
      <c r="C12" s="5"/>
      <c r="D12" s="5"/>
      <c r="E12" s="12" t="s">
        <v>63</v>
      </c>
    </row>
    <row r="13" spans="1:6" x14ac:dyDescent="0.2">
      <c r="A13" s="11" t="s">
        <v>59</v>
      </c>
      <c r="B13" s="12" t="s">
        <v>141</v>
      </c>
      <c r="C13" s="5"/>
      <c r="D13" s="5"/>
      <c r="E13" s="12" t="s">
        <v>63</v>
      </c>
    </row>
    <row r="14" spans="1:6" x14ac:dyDescent="0.2">
      <c r="A14" s="11" t="s">
        <v>59</v>
      </c>
      <c r="B14" s="12" t="s">
        <v>141</v>
      </c>
      <c r="C14" s="5"/>
      <c r="D14" s="5"/>
      <c r="E14" s="12" t="s">
        <v>63</v>
      </c>
    </row>
    <row r="15" spans="1:6" x14ac:dyDescent="0.2">
      <c r="A15" s="11" t="s">
        <v>59</v>
      </c>
      <c r="B15" s="12" t="s">
        <v>141</v>
      </c>
      <c r="C15" s="5"/>
      <c r="D15" s="5"/>
      <c r="E15" s="12" t="s">
        <v>63</v>
      </c>
    </row>
    <row r="17" spans="1:3" ht="19" x14ac:dyDescent="0.25">
      <c r="A17" s="2" t="s">
        <v>142</v>
      </c>
    </row>
    <row r="18" spans="1:3" x14ac:dyDescent="0.2">
      <c r="A18" s="3" t="s">
        <v>143</v>
      </c>
      <c r="B18" s="3" t="s">
        <v>144</v>
      </c>
      <c r="C18" s="3" t="s">
        <v>145</v>
      </c>
    </row>
    <row r="19" spans="1:3" x14ac:dyDescent="0.2">
      <c r="A19" s="4" t="s">
        <v>30</v>
      </c>
      <c r="B19" s="5" t="s">
        <v>146</v>
      </c>
      <c r="C19" s="5"/>
    </row>
    <row r="20" spans="1:3" x14ac:dyDescent="0.2">
      <c r="A20" s="4" t="s">
        <v>30</v>
      </c>
      <c r="B20" s="5" t="s">
        <v>147</v>
      </c>
      <c r="C20" s="5"/>
    </row>
    <row r="21" spans="1:3" x14ac:dyDescent="0.2">
      <c r="A21" s="4" t="s">
        <v>30</v>
      </c>
      <c r="B21" s="5" t="s">
        <v>148</v>
      </c>
      <c r="C21" s="5"/>
    </row>
    <row r="22" spans="1:3" x14ac:dyDescent="0.2">
      <c r="A22" s="4" t="s">
        <v>30</v>
      </c>
      <c r="B22" s="5" t="s">
        <v>149</v>
      </c>
      <c r="C22" s="5"/>
    </row>
    <row r="23" spans="1:3" x14ac:dyDescent="0.2">
      <c r="A23" s="4" t="s">
        <v>30</v>
      </c>
      <c r="B23" s="5" t="s">
        <v>150</v>
      </c>
      <c r="C23" s="5"/>
    </row>
    <row r="24" spans="1:3" x14ac:dyDescent="0.2">
      <c r="A24" s="4" t="s">
        <v>30</v>
      </c>
      <c r="B24" s="5" t="s">
        <v>151</v>
      </c>
      <c r="C24" s="5"/>
    </row>
    <row r="25" spans="1:3" x14ac:dyDescent="0.2">
      <c r="A25" s="4" t="s">
        <v>30</v>
      </c>
      <c r="B25" s="5" t="s">
        <v>152</v>
      </c>
      <c r="C25" s="5"/>
    </row>
    <row r="26" spans="1:3" x14ac:dyDescent="0.2">
      <c r="A26" s="4" t="s">
        <v>30</v>
      </c>
      <c r="B26" s="5" t="s">
        <v>153</v>
      </c>
      <c r="C26" s="5"/>
    </row>
    <row r="27" spans="1:3" x14ac:dyDescent="0.2">
      <c r="A27" s="4" t="s">
        <v>30</v>
      </c>
      <c r="B27" s="5" t="s">
        <v>154</v>
      </c>
      <c r="C27" s="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9"/>
  <sheetViews>
    <sheetView topLeftCell="A19" workbookViewId="0">
      <selection activeCell="A2" sqref="A2"/>
    </sheetView>
  </sheetViews>
  <sheetFormatPr baseColWidth="10" defaultColWidth="8.83203125" defaultRowHeight="15" x14ac:dyDescent="0.2"/>
  <cols>
    <col min="1" max="1" width="100" customWidth="1"/>
  </cols>
  <sheetData>
    <row r="1" spans="1:6" ht="21" x14ac:dyDescent="0.25">
      <c r="A1" s="9" t="s">
        <v>155</v>
      </c>
    </row>
    <row r="2" spans="1:6" x14ac:dyDescent="0.2">
      <c r="A2" s="13" t="s">
        <v>156</v>
      </c>
    </row>
    <row r="4" spans="1:6" ht="19" x14ac:dyDescent="0.25">
      <c r="A4" s="25" t="s">
        <v>157</v>
      </c>
      <c r="B4" s="20"/>
      <c r="C4" s="20"/>
      <c r="D4" s="20"/>
      <c r="E4" s="20"/>
      <c r="F4" s="20"/>
    </row>
    <row r="5" spans="1:6" x14ac:dyDescent="0.2">
      <c r="A5" s="18" t="s">
        <v>158</v>
      </c>
    </row>
    <row r="6" spans="1:6" ht="60" customHeight="1" x14ac:dyDescent="0.2">
      <c r="A6" s="23" t="s">
        <v>159</v>
      </c>
      <c r="B6" s="20"/>
      <c r="C6" s="20"/>
      <c r="D6" s="20"/>
      <c r="E6" s="20"/>
      <c r="F6" s="20"/>
    </row>
    <row r="7" spans="1:6" x14ac:dyDescent="0.2">
      <c r="A7" s="18" t="s">
        <v>160</v>
      </c>
    </row>
    <row r="8" spans="1:6" x14ac:dyDescent="0.2">
      <c r="A8" t="s">
        <v>161</v>
      </c>
    </row>
    <row r="9" spans="1:6" x14ac:dyDescent="0.2">
      <c r="A9" t="s">
        <v>162</v>
      </c>
    </row>
    <row r="10" spans="1:6" x14ac:dyDescent="0.2">
      <c r="A10" t="s">
        <v>163</v>
      </c>
    </row>
    <row r="11" spans="1:6" x14ac:dyDescent="0.2">
      <c r="A11" t="s">
        <v>164</v>
      </c>
    </row>
    <row r="12" spans="1:6" x14ac:dyDescent="0.2">
      <c r="A12" t="s">
        <v>165</v>
      </c>
    </row>
    <row r="13" spans="1:6" x14ac:dyDescent="0.2">
      <c r="A13" s="22" t="s">
        <v>166</v>
      </c>
      <c r="B13" s="20"/>
      <c r="C13" s="20"/>
      <c r="D13" s="20"/>
      <c r="E13" s="20"/>
      <c r="F13" s="20"/>
    </row>
    <row r="15" spans="1:6" ht="19" x14ac:dyDescent="0.25">
      <c r="A15" s="26" t="s">
        <v>167</v>
      </c>
      <c r="B15" s="20"/>
      <c r="C15" s="20"/>
      <c r="D15" s="20"/>
      <c r="E15" s="20"/>
      <c r="F15" s="20"/>
    </row>
    <row r="16" spans="1:6" x14ac:dyDescent="0.2">
      <c r="A16" s="18" t="s">
        <v>158</v>
      </c>
    </row>
    <row r="17" spans="1:6" ht="60" customHeight="1" x14ac:dyDescent="0.2">
      <c r="A17" s="23" t="s">
        <v>168</v>
      </c>
      <c r="B17" s="20"/>
      <c r="C17" s="20"/>
      <c r="D17" s="20"/>
      <c r="E17" s="20"/>
      <c r="F17" s="20"/>
    </row>
    <row r="18" spans="1:6" x14ac:dyDescent="0.2">
      <c r="A18" s="18" t="s">
        <v>160</v>
      </c>
    </row>
    <row r="19" spans="1:6" x14ac:dyDescent="0.2">
      <c r="A19" t="s">
        <v>169</v>
      </c>
    </row>
    <row r="20" spans="1:6" x14ac:dyDescent="0.2">
      <c r="A20" t="s">
        <v>170</v>
      </c>
    </row>
    <row r="21" spans="1:6" x14ac:dyDescent="0.2">
      <c r="A21" t="s">
        <v>171</v>
      </c>
    </row>
    <row r="22" spans="1:6" x14ac:dyDescent="0.2">
      <c r="A22" t="s">
        <v>172</v>
      </c>
    </row>
    <row r="23" spans="1:6" x14ac:dyDescent="0.2">
      <c r="A23" t="s">
        <v>173</v>
      </c>
    </row>
    <row r="24" spans="1:6" x14ac:dyDescent="0.2">
      <c r="A24" s="22" t="s">
        <v>174</v>
      </c>
      <c r="B24" s="20"/>
      <c r="C24" s="20"/>
      <c r="D24" s="20"/>
      <c r="E24" s="20"/>
      <c r="F24" s="20"/>
    </row>
    <row r="26" spans="1:6" ht="19" x14ac:dyDescent="0.25">
      <c r="A26" s="26" t="s">
        <v>175</v>
      </c>
      <c r="B26" s="20"/>
      <c r="C26" s="20"/>
      <c r="D26" s="20"/>
      <c r="E26" s="20"/>
      <c r="F26" s="20"/>
    </row>
    <row r="27" spans="1:6" x14ac:dyDescent="0.2">
      <c r="A27" s="18" t="s">
        <v>158</v>
      </c>
    </row>
    <row r="28" spans="1:6" ht="60" customHeight="1" x14ac:dyDescent="0.2">
      <c r="A28" s="23" t="s">
        <v>176</v>
      </c>
      <c r="B28" s="20"/>
      <c r="C28" s="20"/>
      <c r="D28" s="20"/>
      <c r="E28" s="20"/>
      <c r="F28" s="20"/>
    </row>
    <row r="29" spans="1:6" x14ac:dyDescent="0.2">
      <c r="A29" s="18" t="s">
        <v>160</v>
      </c>
    </row>
    <row r="30" spans="1:6" x14ac:dyDescent="0.2">
      <c r="A30" t="s">
        <v>177</v>
      </c>
    </row>
    <row r="31" spans="1:6" x14ac:dyDescent="0.2">
      <c r="A31" t="s">
        <v>178</v>
      </c>
    </row>
    <row r="32" spans="1:6" x14ac:dyDescent="0.2">
      <c r="A32" t="s">
        <v>179</v>
      </c>
    </row>
    <row r="33" spans="1:6" x14ac:dyDescent="0.2">
      <c r="A33" t="s">
        <v>180</v>
      </c>
    </row>
    <row r="34" spans="1:6" x14ac:dyDescent="0.2">
      <c r="A34" t="s">
        <v>181</v>
      </c>
    </row>
    <row r="35" spans="1:6" x14ac:dyDescent="0.2">
      <c r="A35" s="22" t="s">
        <v>182</v>
      </c>
      <c r="B35" s="20"/>
      <c r="C35" s="20"/>
      <c r="D35" s="20"/>
      <c r="E35" s="20"/>
      <c r="F35" s="20"/>
    </row>
    <row r="37" spans="1:6" ht="19" x14ac:dyDescent="0.25">
      <c r="A37" s="24" t="s">
        <v>183</v>
      </c>
      <c r="B37" s="20"/>
      <c r="C37" s="20"/>
      <c r="D37" s="20"/>
      <c r="E37" s="20"/>
      <c r="F37" s="20"/>
    </row>
    <row r="38" spans="1:6" x14ac:dyDescent="0.2">
      <c r="A38" s="18" t="s">
        <v>158</v>
      </c>
    </row>
    <row r="39" spans="1:6" ht="60" customHeight="1" x14ac:dyDescent="0.2">
      <c r="A39" s="23" t="s">
        <v>184</v>
      </c>
      <c r="B39" s="20"/>
      <c r="C39" s="20"/>
      <c r="D39" s="20"/>
      <c r="E39" s="20"/>
      <c r="F39" s="20"/>
    </row>
    <row r="40" spans="1:6" x14ac:dyDescent="0.2">
      <c r="A40" s="18" t="s">
        <v>160</v>
      </c>
    </row>
    <row r="41" spans="1:6" x14ac:dyDescent="0.2">
      <c r="A41" t="s">
        <v>185</v>
      </c>
    </row>
    <row r="42" spans="1:6" x14ac:dyDescent="0.2">
      <c r="A42" t="s">
        <v>186</v>
      </c>
    </row>
    <row r="43" spans="1:6" x14ac:dyDescent="0.2">
      <c r="A43" t="s">
        <v>187</v>
      </c>
    </row>
    <row r="44" spans="1:6" x14ac:dyDescent="0.2">
      <c r="A44" t="s">
        <v>188</v>
      </c>
    </row>
    <row r="45" spans="1:6" x14ac:dyDescent="0.2">
      <c r="A45" t="s">
        <v>189</v>
      </c>
    </row>
    <row r="46" spans="1:6" x14ac:dyDescent="0.2">
      <c r="A46" s="22" t="s">
        <v>190</v>
      </c>
      <c r="B46" s="20"/>
      <c r="C46" s="20"/>
      <c r="D46" s="20"/>
      <c r="E46" s="20"/>
      <c r="F46" s="20"/>
    </row>
    <row r="48" spans="1:6" ht="19" x14ac:dyDescent="0.25">
      <c r="A48" s="24" t="s">
        <v>191</v>
      </c>
      <c r="B48" s="20"/>
      <c r="C48" s="20"/>
      <c r="D48" s="20"/>
      <c r="E48" s="20"/>
      <c r="F48" s="20"/>
    </row>
    <row r="49" spans="1:6" x14ac:dyDescent="0.2">
      <c r="A49" s="18" t="s">
        <v>158</v>
      </c>
    </row>
    <row r="50" spans="1:6" ht="60" customHeight="1" x14ac:dyDescent="0.2">
      <c r="A50" s="23" t="s">
        <v>192</v>
      </c>
      <c r="B50" s="20"/>
      <c r="C50" s="20"/>
      <c r="D50" s="20"/>
      <c r="E50" s="20"/>
      <c r="F50" s="20"/>
    </row>
    <row r="51" spans="1:6" x14ac:dyDescent="0.2">
      <c r="A51" s="18" t="s">
        <v>160</v>
      </c>
    </row>
    <row r="52" spans="1:6" x14ac:dyDescent="0.2">
      <c r="A52" t="s">
        <v>193</v>
      </c>
    </row>
    <row r="53" spans="1:6" x14ac:dyDescent="0.2">
      <c r="A53" t="s">
        <v>194</v>
      </c>
    </row>
    <row r="54" spans="1:6" x14ac:dyDescent="0.2">
      <c r="A54" t="s">
        <v>195</v>
      </c>
    </row>
    <row r="55" spans="1:6" x14ac:dyDescent="0.2">
      <c r="A55" t="s">
        <v>196</v>
      </c>
    </row>
    <row r="56" spans="1:6" x14ac:dyDescent="0.2">
      <c r="A56" t="s">
        <v>197</v>
      </c>
    </row>
    <row r="57" spans="1:6" x14ac:dyDescent="0.2">
      <c r="A57" s="22" t="s">
        <v>198</v>
      </c>
      <c r="B57" s="20"/>
      <c r="C57" s="20"/>
      <c r="D57" s="20"/>
      <c r="E57" s="20"/>
      <c r="F57" s="20"/>
    </row>
    <row r="59" spans="1:6" ht="19" x14ac:dyDescent="0.25">
      <c r="A59" s="27" t="s">
        <v>199</v>
      </c>
      <c r="B59" s="20"/>
      <c r="C59" s="20"/>
      <c r="D59" s="20"/>
      <c r="E59" s="20"/>
      <c r="F59" s="20"/>
    </row>
    <row r="60" spans="1:6" x14ac:dyDescent="0.2">
      <c r="A60" s="18" t="s">
        <v>158</v>
      </c>
    </row>
    <row r="61" spans="1:6" ht="60" customHeight="1" x14ac:dyDescent="0.2">
      <c r="A61" s="23" t="s">
        <v>200</v>
      </c>
      <c r="B61" s="20"/>
      <c r="C61" s="20"/>
      <c r="D61" s="20"/>
      <c r="E61" s="20"/>
      <c r="F61" s="20"/>
    </row>
    <row r="62" spans="1:6" x14ac:dyDescent="0.2">
      <c r="A62" s="18" t="s">
        <v>160</v>
      </c>
    </row>
    <row r="63" spans="1:6" x14ac:dyDescent="0.2">
      <c r="A63" t="s">
        <v>201</v>
      </c>
    </row>
    <row r="64" spans="1:6" x14ac:dyDescent="0.2">
      <c r="A64" t="s">
        <v>202</v>
      </c>
    </row>
    <row r="65" spans="1:6" x14ac:dyDescent="0.2">
      <c r="A65" t="s">
        <v>203</v>
      </c>
    </row>
    <row r="66" spans="1:6" x14ac:dyDescent="0.2">
      <c r="A66" t="s">
        <v>204</v>
      </c>
    </row>
    <row r="67" spans="1:6" x14ac:dyDescent="0.2">
      <c r="A67" t="s">
        <v>205</v>
      </c>
    </row>
    <row r="68" spans="1:6" x14ac:dyDescent="0.2">
      <c r="A68" t="s">
        <v>206</v>
      </c>
    </row>
    <row r="69" spans="1:6" x14ac:dyDescent="0.2">
      <c r="A69" s="22" t="s">
        <v>207</v>
      </c>
      <c r="B69" s="20"/>
      <c r="C69" s="20"/>
      <c r="D69" s="20"/>
      <c r="E69" s="20"/>
      <c r="F69" s="20"/>
    </row>
  </sheetData>
  <mergeCells count="18">
    <mergeCell ref="A69:F69"/>
    <mergeCell ref="A15:F15"/>
    <mergeCell ref="A59:F59"/>
    <mergeCell ref="A57:F57"/>
    <mergeCell ref="A61:F61"/>
    <mergeCell ref="A6:F6"/>
    <mergeCell ref="A17:F17"/>
    <mergeCell ref="A35:F35"/>
    <mergeCell ref="A4:F4"/>
    <mergeCell ref="A48:F48"/>
    <mergeCell ref="A26:F26"/>
    <mergeCell ref="A50:F50"/>
    <mergeCell ref="A39:F39"/>
    <mergeCell ref="A24:F24"/>
    <mergeCell ref="A28:F28"/>
    <mergeCell ref="A46:F46"/>
    <mergeCell ref="A13:F13"/>
    <mergeCell ref="A37:F3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4"/>
  <sheetViews>
    <sheetView tabSelected="1" workbookViewId="0">
      <selection activeCell="C19" sqref="C19"/>
    </sheetView>
  </sheetViews>
  <sheetFormatPr baseColWidth="10" defaultColWidth="8.83203125" defaultRowHeight="15" x14ac:dyDescent="0.2"/>
  <cols>
    <col min="1" max="3" width="35" customWidth="1"/>
  </cols>
  <sheetData>
    <row r="1" spans="1:3" ht="21" x14ac:dyDescent="0.25">
      <c r="A1" s="9" t="s">
        <v>208</v>
      </c>
    </row>
    <row r="3" spans="1:3" x14ac:dyDescent="0.2">
      <c r="A3" s="13" t="s">
        <v>209</v>
      </c>
    </row>
    <row r="5" spans="1:3" x14ac:dyDescent="0.2">
      <c r="A5" s="3" t="s">
        <v>210</v>
      </c>
      <c r="B5" s="3" t="s">
        <v>211</v>
      </c>
      <c r="C5" s="3" t="s">
        <v>212</v>
      </c>
    </row>
    <row r="6" spans="1:3" x14ac:dyDescent="0.2">
      <c r="A6" s="4" t="s">
        <v>213</v>
      </c>
      <c r="B6" s="5" t="s">
        <v>214</v>
      </c>
      <c r="C6" s="5" t="s">
        <v>215</v>
      </c>
    </row>
    <row r="7" spans="1:3" x14ac:dyDescent="0.2">
      <c r="A7" s="4" t="s">
        <v>216</v>
      </c>
      <c r="B7" s="5" t="s">
        <v>217</v>
      </c>
      <c r="C7" s="5" t="s">
        <v>218</v>
      </c>
    </row>
    <row r="8" spans="1:3" x14ac:dyDescent="0.2">
      <c r="A8" s="4" t="s">
        <v>219</v>
      </c>
      <c r="B8" s="5" t="s">
        <v>220</v>
      </c>
      <c r="C8" s="5" t="s">
        <v>221</v>
      </c>
    </row>
    <row r="9" spans="1:3" x14ac:dyDescent="0.2">
      <c r="A9" s="4" t="s">
        <v>222</v>
      </c>
      <c r="B9" s="5" t="s">
        <v>223</v>
      </c>
      <c r="C9" s="5" t="s">
        <v>224</v>
      </c>
    </row>
    <row r="10" spans="1:3" x14ac:dyDescent="0.2">
      <c r="A10" s="4" t="s">
        <v>225</v>
      </c>
      <c r="B10" s="5" t="s">
        <v>226</v>
      </c>
      <c r="C10" s="5" t="s">
        <v>227</v>
      </c>
    </row>
    <row r="11" spans="1:3" x14ac:dyDescent="0.2">
      <c r="A11" s="4" t="s">
        <v>228</v>
      </c>
      <c r="B11" s="5" t="s">
        <v>229</v>
      </c>
      <c r="C11" s="5" t="s">
        <v>230</v>
      </c>
    </row>
    <row r="14" spans="1:3" x14ac:dyDescent="0.2">
      <c r="A14" s="10" t="s">
        <v>231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7</vt:i4>
      </vt:variant>
    </vt:vector>
  </HeadingPairs>
  <TitlesOfParts>
    <vt:vector size="7" baseType="lpstr">
      <vt:lpstr>Dashboard</vt:lpstr>
      <vt:lpstr>S1-Sauvegardes</vt:lpstr>
      <vt:lpstr>S2-Simulations</vt:lpstr>
      <vt:lpstr>S3-Contacts</vt:lpstr>
      <vt:lpstr>S4-MAJ</vt:lpstr>
      <vt:lpstr>Scénarios</vt:lpstr>
      <vt:lpstr>Rappels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Oxana DELAUNAY</cp:lastModifiedBy>
  <dcterms:created xsi:type="dcterms:W3CDTF">2025-12-02T07:45:50Z</dcterms:created>
  <dcterms:modified xsi:type="dcterms:W3CDTF">2025-12-04T11:14:07Z</dcterms:modified>
</cp:coreProperties>
</file>